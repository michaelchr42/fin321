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ichaelsmustard/Desktop/"/>
    </mc:Choice>
  </mc:AlternateContent>
  <xr:revisionPtr revIDLastSave="0" documentId="8_{27301C6C-B9C1-AA4F-B7D9-BBAF0E43CBC5}" xr6:coauthVersionLast="47" xr6:coauthVersionMax="47" xr10:uidLastSave="{00000000-0000-0000-0000-000000000000}"/>
  <bookViews>
    <workbookView xWindow="0" yWindow="760" windowWidth="16380" windowHeight="8200" tabRatio="500" xr2:uid="{00000000-000D-0000-FFFF-FFFF00000000}"/>
  </bookViews>
  <sheets>
    <sheet name="FX Hedge Model" sheetId="1" r:id="rId1"/>
    <sheet name="Notes &amp; Assumptions" sheetId="2" r:id="rId2"/>
  </sheets>
  <definedNames>
    <definedName name="F0">'FX Hedge Model'!$D$8</definedName>
    <definedName name="FC_AMT">'FX Hedge Model'!$D$6</definedName>
    <definedName name="K_PUT">'FX Hedge Model'!$D$12</definedName>
    <definedName name="PREM_PUT">'FX Hedge Model'!$D$13</definedName>
    <definedName name="R_EUR">'FX Hedge Model'!$D$10</definedName>
    <definedName name="R_USD">'FX Hedge Model'!$D$9</definedName>
    <definedName name="S0">'FX Hedge Model'!$D$7</definedName>
    <definedName name="T_DAYS">'FX Hedge Model'!$D$11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7" i="1" l="1"/>
  <c r="G57" i="1" s="1"/>
  <c r="B56" i="1"/>
  <c r="G56" i="1" s="1"/>
  <c r="B55" i="1"/>
  <c r="G55" i="1" s="1"/>
  <c r="B54" i="1"/>
  <c r="G54" i="1" s="1"/>
  <c r="B53" i="1"/>
  <c r="G53" i="1" s="1"/>
  <c r="B52" i="1"/>
  <c r="G52" i="1" s="1"/>
  <c r="B51" i="1"/>
  <c r="G51" i="1" s="1"/>
  <c r="B50" i="1"/>
  <c r="G50" i="1" s="1"/>
  <c r="B49" i="1"/>
  <c r="G49" i="1" s="1"/>
  <c r="B48" i="1"/>
  <c r="G48" i="1" s="1"/>
  <c r="B47" i="1"/>
  <c r="G47" i="1" s="1"/>
  <c r="D39" i="1"/>
  <c r="D31" i="1"/>
  <c r="D32" i="1" s="1"/>
  <c r="D25" i="1"/>
  <c r="D22" i="1"/>
  <c r="D23" i="1" s="1"/>
  <c r="D24" i="1" s="1"/>
  <c r="D27" i="1" s="1"/>
  <c r="D17" i="1"/>
  <c r="D16" i="1"/>
  <c r="D19" i="1" s="1"/>
  <c r="D40" i="1" l="1"/>
  <c r="E57" i="1"/>
  <c r="E56" i="1"/>
  <c r="E55" i="1"/>
  <c r="E54" i="1"/>
  <c r="E53" i="1"/>
  <c r="E52" i="1"/>
  <c r="E51" i="1"/>
  <c r="E50" i="1"/>
  <c r="E49" i="1"/>
  <c r="E48" i="1"/>
  <c r="E47" i="1"/>
  <c r="D28" i="1"/>
  <c r="J51" i="1"/>
  <c r="J52" i="1"/>
  <c r="D41" i="1"/>
  <c r="F57" i="1"/>
  <c r="F56" i="1"/>
  <c r="F55" i="1"/>
  <c r="F54" i="1"/>
  <c r="F53" i="1"/>
  <c r="F52" i="1"/>
  <c r="F51" i="1"/>
  <c r="I51" i="1" s="1"/>
  <c r="F50" i="1"/>
  <c r="I50" i="1" s="1"/>
  <c r="F49" i="1"/>
  <c r="I49" i="1" s="1"/>
  <c r="F48" i="1"/>
  <c r="I48" i="1" s="1"/>
  <c r="F47" i="1"/>
  <c r="D35" i="1"/>
  <c r="D42" i="1" s="1"/>
  <c r="D33" i="1"/>
  <c r="C47" i="1"/>
  <c r="C48" i="1"/>
  <c r="C49" i="1"/>
  <c r="C50" i="1"/>
  <c r="C51" i="1"/>
  <c r="C52" i="1"/>
  <c r="C53" i="1"/>
  <c r="C54" i="1"/>
  <c r="C55" i="1"/>
  <c r="C56" i="1"/>
  <c r="C57" i="1"/>
  <c r="D47" i="1"/>
  <c r="J47" i="1" s="1"/>
  <c r="D48" i="1"/>
  <c r="J48" i="1" s="1"/>
  <c r="D49" i="1"/>
  <c r="J49" i="1" s="1"/>
  <c r="D50" i="1"/>
  <c r="J50" i="1" s="1"/>
  <c r="D51" i="1"/>
  <c r="D52" i="1"/>
  <c r="D53" i="1"/>
  <c r="J53" i="1" s="1"/>
  <c r="D54" i="1"/>
  <c r="J54" i="1" s="1"/>
  <c r="D55" i="1"/>
  <c r="J55" i="1" s="1"/>
  <c r="D56" i="1"/>
  <c r="J56" i="1" s="1"/>
  <c r="D57" i="1"/>
  <c r="J57" i="1" s="1"/>
  <c r="K52" i="1" l="1"/>
  <c r="H52" i="1"/>
  <c r="I57" i="1"/>
  <c r="I47" i="1"/>
  <c r="K53" i="1"/>
  <c r="H53" i="1"/>
  <c r="K54" i="1"/>
  <c r="H54" i="1"/>
  <c r="K47" i="1"/>
  <c r="H47" i="1"/>
  <c r="K49" i="1"/>
  <c r="H49" i="1"/>
  <c r="I55" i="1"/>
  <c r="K50" i="1"/>
  <c r="H50" i="1"/>
  <c r="K55" i="1"/>
  <c r="H55" i="1"/>
  <c r="K56" i="1"/>
  <c r="H56" i="1"/>
  <c r="I52" i="1"/>
  <c r="K57" i="1"/>
  <c r="H57" i="1"/>
  <c r="I53" i="1"/>
  <c r="K48" i="1"/>
  <c r="H48" i="1"/>
  <c r="I54" i="1"/>
  <c r="I56" i="1"/>
  <c r="K51" i="1"/>
  <c r="H51" i="1"/>
</calcChain>
</file>

<file path=xl/sharedStrings.xml><?xml version="1.0" encoding="utf-8"?>
<sst xmlns="http://schemas.openxmlformats.org/spreadsheetml/2006/main" count="128" uniqueCount="123">
  <si>
    <t>FX Hedge Analysis — EUR/USD Receivable  |  TransLog Pacific LLC</t>
  </si>
  <si>
    <t>Scenario: €2,500,000 receivable due July 31, 2026 (~90 days). Payment fixed in EUR; to be converted to USD at settlement. Model compares Forward, Money Market, and Option hedging strategies vs. an unhedged position.</t>
  </si>
  <si>
    <t>SECTION 1 — INPUTS   (Yellow = Editable)</t>
  </si>
  <si>
    <t>Named Range</t>
  </si>
  <si>
    <t>Description</t>
  </si>
  <si>
    <t>Value</t>
  </si>
  <si>
    <t>Units</t>
  </si>
  <si>
    <t>FC_AMT</t>
  </si>
  <si>
    <t>EUR Receivable Amount</t>
  </si>
  <si>
    <t>EUR</t>
  </si>
  <si>
    <t>S0</t>
  </si>
  <si>
    <t>Spot Rate (USD/EUR) — today</t>
  </si>
  <si>
    <t>USD/EUR</t>
  </si>
  <si>
    <t>F0</t>
  </si>
  <si>
    <t>90-Day Forward Rate (USD/EUR)</t>
  </si>
  <si>
    <t>R_USD</t>
  </si>
  <si>
    <t>U.S. 90-Day Interest Rate (annual)</t>
  </si>
  <si>
    <t>Annual</t>
  </si>
  <si>
    <t>R_EUR</t>
  </si>
  <si>
    <t>EUR 90-Day Interest Rate (annual)</t>
  </si>
  <si>
    <t>T_DAYS</t>
  </si>
  <si>
    <t>Days to Settlement</t>
  </si>
  <si>
    <t>Days</t>
  </si>
  <si>
    <t>K_PUT</t>
  </si>
  <si>
    <t>EUR Put Strike Price</t>
  </si>
  <si>
    <t>PREM_PUT</t>
  </si>
  <si>
    <t>EUR Put Premium (per EUR)</t>
  </si>
  <si>
    <t>SECTION 2 — FORWARD HEDGE</t>
  </si>
  <si>
    <t>[a] Lock in forward rate — USD proceeds at settlement</t>
  </si>
  <si>
    <t>&lt;-- LOCKED IN: rate fixed today, no upside/downside</t>
  </si>
  <si>
    <t>Forward Rate Used</t>
  </si>
  <si>
    <t>Forward Hedge — Total USD Proceeds</t>
  </si>
  <si>
    <t>SECTION 3 — MONEY MARKET HEDGE</t>
  </si>
  <si>
    <t>[a] Borrow PV of EUR receivable today</t>
  </si>
  <si>
    <t>PV of €2.5M at EUR rate</t>
  </si>
  <si>
    <t>[b] Convert EUR to USD at today's spot rate</t>
  </si>
  <si>
    <t>EUR → USD at spot</t>
  </si>
  <si>
    <t>[c] Invest USD at domestic interest rate</t>
  </si>
  <si>
    <t>USD grows to settlement</t>
  </si>
  <si>
    <t>[d] EUR receivable repays the EUR loan exactly</t>
  </si>
  <si>
    <t>Nets to zero — loan closed</t>
  </si>
  <si>
    <t>Money Market Hedge — Total USD Proceeds</t>
  </si>
  <si>
    <t>Parity Check: Forward minus MM (should ≈ $0)</t>
  </si>
  <si>
    <t>&lt;-- Covered Interest Parity; expect near-zero difference</t>
  </si>
  <si>
    <t>SECTION 4 — OPTION HEDGE (EUR Put)</t>
  </si>
  <si>
    <t>[a] Total put premium paid today (USD)</t>
  </si>
  <si>
    <t>Cost = premium × notional EUR  (negative = outflow)</t>
  </si>
  <si>
    <t>[b] Future value of premium at USD rate (at settlement)</t>
  </si>
  <si>
    <t>[c] Floor proceeds if put exercised (EUR at/below strike)</t>
  </si>
  <si>
    <t>Option Hedge — Floor USD Proceeds (worst-case)</t>
  </si>
  <si>
    <t>&lt;-- VARIABLE: actual proceeds depend on settlement spot</t>
  </si>
  <si>
    <t>SECTION 5 — SUMMARY OUTPUT</t>
  </si>
  <si>
    <t>Strategy</t>
  </si>
  <si>
    <t>USD Proceeds</t>
  </si>
  <si>
    <t>Certainty</t>
  </si>
  <si>
    <t>Key Trade-off</t>
  </si>
  <si>
    <t>0. No Hedge</t>
  </si>
  <si>
    <t>None</t>
  </si>
  <si>
    <t>Full exposure to spot rate movement</t>
  </si>
  <si>
    <t>1. Forward Hedge</t>
  </si>
  <si>
    <t>Full</t>
  </si>
  <si>
    <t>Eliminates risk; forfeits upside</t>
  </si>
  <si>
    <t>2. Money Market Hedge</t>
  </si>
  <si>
    <t>Balance-sheet hedge; ~= Forward (CIP)</t>
  </si>
  <si>
    <t>3. Option Hedge (floor)</t>
  </si>
  <si>
    <t>Partial</t>
  </si>
  <si>
    <t>Downside floor; upside open (minus premium)</t>
  </si>
  <si>
    <t>RECOMMENDATION</t>
  </si>
  <si>
    <t>TBD — Stage 4</t>
  </si>
  <si>
    <t>—</t>
  </si>
  <si>
    <t>To be completed in Stage 4</t>
  </si>
  <si>
    <t>SECTION 6 — SENSITIVITY TABLE  (±5% spot range, 1% increments)</t>
  </si>
  <si>
    <t>Future Spot
(USD/EUR)</t>
  </si>
  <si>
    <t>% vs.
Spot</t>
  </si>
  <si>
    <t>No Hedge
(USD)</t>
  </si>
  <si>
    <t>Forward
(USD)</t>
  </si>
  <si>
    <t>Money Mkt
(USD)</t>
  </si>
  <si>
    <t>Option
(USD)</t>
  </si>
  <si>
    <t>Fwd vs.
No Hedge</t>
  </si>
  <si>
    <t>MM vs.
No Hedge</t>
  </si>
  <si>
    <t>Option vs.
No Hedge</t>
  </si>
  <si>
    <t>Best Hedge</t>
  </si>
  <si>
    <t>Note</t>
  </si>
  <si>
    <t>&lt;-- EUR -5% worst case</t>
  </si>
  <si>
    <t>&lt;-- Baseline (current spot)</t>
  </si>
  <si>
    <t>&lt;-- EUR +5% best case</t>
  </si>
  <si>
    <t>Notes &amp; Assumptions</t>
  </si>
  <si>
    <t>Item</t>
  </si>
  <si>
    <t>Detail</t>
  </si>
  <si>
    <t>Scenario</t>
  </si>
  <si>
    <t>TransLog Pacific LLC — €2,500,000 EUR receivable due July 31, 2026 (~90 days)</t>
  </si>
  <si>
    <t>Spot Rate S0</t>
  </si>
  <si>
    <t>1.0820 USD/EUR — indicative April 2026 market rate</t>
  </si>
  <si>
    <t>Forward Rate F0</t>
  </si>
  <si>
    <t>1.0798 USD/EUR — 90-day outright forward; derived from covered interest parity</t>
  </si>
  <si>
    <t>USD Interest Rate</t>
  </si>
  <si>
    <t>5.30% annualized — approximate U.S. 90-day T-bill / SOFR rate</t>
  </si>
  <si>
    <t>EUR Interest Rate</t>
  </si>
  <si>
    <t>3.90% annualized — approximate ECB deposit facility / 90-day Euribor</t>
  </si>
  <si>
    <t>Put Strike K_PUT</t>
  </si>
  <si>
    <t>1.0800 USD/EUR — at-the-money EUR put</t>
  </si>
  <si>
    <t>Put Premium PREM_PUT</t>
  </si>
  <si>
    <t>0.0120 USD/EUR — market estimate; actual varies with implied volatility</t>
  </si>
  <si>
    <t>Day Count Basis</t>
  </si>
  <si>
    <t>Actual/360 used for both USD and EUR interest accrual</t>
  </si>
  <si>
    <t>Bid-Ask Spreads</t>
  </si>
  <si>
    <t>Ignored — real execution would narrow net proceeds slightly</t>
  </si>
  <si>
    <t>Transaction Costs</t>
  </si>
  <si>
    <t>Not modeled — assumed immaterial for illustrative analysis</t>
  </si>
  <si>
    <t>Option Style</t>
  </si>
  <si>
    <t>European-style EUR put; exercised at expiry only</t>
  </si>
  <si>
    <t>MM Hedge Assumption</t>
  </si>
  <si>
    <t>Firm assumed to have access to EUR credit facility at quoted rate</t>
  </si>
  <si>
    <t>CIP Parity</t>
  </si>
  <si>
    <t>Forward ≈ MM hedge output; small residual due to Actual/360 rounding</t>
  </si>
  <si>
    <t>Sensitivity Range</t>
  </si>
  <si>
    <t>±5% of spot in 1% increments per Stage 2 assignment instructions</t>
  </si>
  <si>
    <t>Recommendation Row</t>
  </si>
  <si>
    <t>Summary Section row 5 left as TBD; to be completed in Stage 4</t>
  </si>
  <si>
    <t>Model Author</t>
  </si>
  <si>
    <t>Michael Christensen — FIN-321-002, Shidler College of Business, UH Mānoa</t>
  </si>
  <si>
    <t>Date</t>
  </si>
  <si>
    <t>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</si>
</sst>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$#,##0.00"/>
  </numFmts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sz val="11"/>
      <name val="Arial"/>
      <charset val="1"/>
    </font>
    <font>
      <i/>
      <sz val="11"/>
      <color rgb="FF595959"/>
      <name val="Arial"/>
      <charset val="1"/>
    </font>
    <font>
      <b/>
      <sz val="12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DCE6F1"/>
        <bgColor rgb="FFE2EFDA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CE6F1"/>
      </patternFill>
    </fill>
    <fill>
      <patternFill patternType="solid">
        <fgColor rgb="FFD9D9D9"/>
        <bgColor rgb="FFDCE6F1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8" fillId="2" borderId="0" xfId="0" applyFont="1" applyFill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right" vertical="center"/>
    </xf>
    <xf numFmtId="0" fontId="4" fillId="9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center" vertical="center"/>
    </xf>
    <xf numFmtId="165" fontId="6" fillId="8" borderId="2" xfId="0" applyNumberFormat="1" applyFont="1" applyFill="1" applyBorder="1" applyAlignment="1">
      <alignment horizontal="right" vertical="center"/>
    </xf>
    <xf numFmtId="0" fontId="6" fillId="8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3" fontId="5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10" fontId="5" fillId="6" borderId="1" xfId="0" applyNumberFormat="1" applyFont="1" applyFill="1" applyBorder="1" applyAlignment="1">
      <alignment horizontal="right" vertical="center"/>
    </xf>
    <xf numFmtId="1" fontId="5" fillId="6" borderId="1" xfId="0" applyNumberFormat="1" applyFont="1" applyFill="1" applyBorder="1" applyAlignment="1">
      <alignment horizontal="right" vertical="center"/>
    </xf>
    <xf numFmtId="165" fontId="6" fillId="7" borderId="1" xfId="0" applyNumberFormat="1" applyFont="1" applyFill="1" applyBorder="1" applyAlignment="1">
      <alignment horizontal="right" vertical="center"/>
    </xf>
    <xf numFmtId="164" fontId="6" fillId="7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/>
    </xf>
    <xf numFmtId="165" fontId="4" fillId="8" borderId="1" xfId="0" applyNumberFormat="1" applyFont="1" applyFill="1" applyBorder="1" applyAlignment="1">
      <alignment horizontal="right" vertical="center"/>
    </xf>
    <xf numFmtId="3" fontId="6" fillId="7" borderId="1" xfId="0" applyNumberFormat="1" applyFont="1" applyFill="1" applyBorder="1" applyAlignment="1">
      <alignment horizontal="right" vertical="center"/>
    </xf>
    <xf numFmtId="165" fontId="6" fillId="9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right" vertical="center"/>
    </xf>
    <xf numFmtId="10" fontId="6" fillId="7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2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USD Proceeds Across EUR/USD Settlement Scenarios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'FX Hedge Model'!$D$46</c:f>
              <c:strCache>
                <c:ptCount val="1"/>
                <c:pt idx="0">
                  <c:v>No Hedge
(USD)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Model'!$B$47:$B$57</c:f>
              <c:numCache>
                <c:formatCode>0.0000</c:formatCode>
                <c:ptCount val="11"/>
                <c:pt idx="0">
                  <c:v>1.0279</c:v>
                </c:pt>
                <c:pt idx="1">
                  <c:v>1.0387200000000001</c:v>
                </c:pt>
                <c:pt idx="2">
                  <c:v>1.0495400000000001</c:v>
                </c:pt>
                <c:pt idx="3">
                  <c:v>1.06036</c:v>
                </c:pt>
                <c:pt idx="4">
                  <c:v>1.07118</c:v>
                </c:pt>
                <c:pt idx="5">
                  <c:v>1.0820000000000001</c:v>
                </c:pt>
                <c:pt idx="6">
                  <c:v>1.0928200000000001</c:v>
                </c:pt>
                <c:pt idx="7">
                  <c:v>1.1036400000000002</c:v>
                </c:pt>
                <c:pt idx="8">
                  <c:v>1.11446</c:v>
                </c:pt>
                <c:pt idx="9">
                  <c:v>1.1252800000000001</c:v>
                </c:pt>
                <c:pt idx="10">
                  <c:v>1.1361000000000001</c:v>
                </c:pt>
              </c:numCache>
            </c:numRef>
          </c:cat>
          <c:val>
            <c:numRef>
              <c:f>'FX Hedge Model'!$D$47:$D$57</c:f>
              <c:numCache>
                <c:formatCode>\$#,##0.00</c:formatCode>
                <c:ptCount val="11"/>
                <c:pt idx="0">
                  <c:v>2569750</c:v>
                </c:pt>
                <c:pt idx="1">
                  <c:v>2596800</c:v>
                </c:pt>
                <c:pt idx="2">
                  <c:v>2623850.0000000005</c:v>
                </c:pt>
                <c:pt idx="3">
                  <c:v>2650900</c:v>
                </c:pt>
                <c:pt idx="4">
                  <c:v>2677950</c:v>
                </c:pt>
                <c:pt idx="5">
                  <c:v>2705000</c:v>
                </c:pt>
                <c:pt idx="6">
                  <c:v>2732050.0000000005</c:v>
                </c:pt>
                <c:pt idx="7">
                  <c:v>2759100.0000000005</c:v>
                </c:pt>
                <c:pt idx="8">
                  <c:v>2786150</c:v>
                </c:pt>
                <c:pt idx="9">
                  <c:v>2813200</c:v>
                </c:pt>
                <c:pt idx="10">
                  <c:v>2840250.0000000005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F7-7441-BFAE-962300FD1556}"/>
            </c:ext>
          </c:extLst>
        </c:ser>
        <c:ser>
          <c:idx val="1"/>
          <c:order val="1"/>
          <c:tx>
            <c:strRef>
              <c:f>'FX Hedge Model'!$E$46</c:f>
              <c:strCache>
                <c:ptCount val="1"/>
                <c:pt idx="0">
                  <c:v>Forward
(USD)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Model'!$B$47:$B$57</c:f>
              <c:numCache>
                <c:formatCode>0.0000</c:formatCode>
                <c:ptCount val="11"/>
                <c:pt idx="0">
                  <c:v>1.0279</c:v>
                </c:pt>
                <c:pt idx="1">
                  <c:v>1.0387200000000001</c:v>
                </c:pt>
                <c:pt idx="2">
                  <c:v>1.0495400000000001</c:v>
                </c:pt>
                <c:pt idx="3">
                  <c:v>1.06036</c:v>
                </c:pt>
                <c:pt idx="4">
                  <c:v>1.07118</c:v>
                </c:pt>
                <c:pt idx="5">
                  <c:v>1.0820000000000001</c:v>
                </c:pt>
                <c:pt idx="6">
                  <c:v>1.0928200000000001</c:v>
                </c:pt>
                <c:pt idx="7">
                  <c:v>1.1036400000000002</c:v>
                </c:pt>
                <c:pt idx="8">
                  <c:v>1.11446</c:v>
                </c:pt>
                <c:pt idx="9">
                  <c:v>1.1252800000000001</c:v>
                </c:pt>
                <c:pt idx="10">
                  <c:v>1.1361000000000001</c:v>
                </c:pt>
              </c:numCache>
            </c:numRef>
          </c:cat>
          <c:val>
            <c:numRef>
              <c:f>'FX Hedge Model'!$E$47:$E$57</c:f>
              <c:numCache>
                <c:formatCode>\$#,##0.00</c:formatCode>
                <c:ptCount val="11"/>
                <c:pt idx="0">
                  <c:v>2699500</c:v>
                </c:pt>
                <c:pt idx="1">
                  <c:v>2699500</c:v>
                </c:pt>
                <c:pt idx="2">
                  <c:v>2699500</c:v>
                </c:pt>
                <c:pt idx="3">
                  <c:v>2699500</c:v>
                </c:pt>
                <c:pt idx="4">
                  <c:v>2699500</c:v>
                </c:pt>
                <c:pt idx="5">
                  <c:v>2699500</c:v>
                </c:pt>
                <c:pt idx="6">
                  <c:v>2699500</c:v>
                </c:pt>
                <c:pt idx="7">
                  <c:v>2699500</c:v>
                </c:pt>
                <c:pt idx="8">
                  <c:v>2699500</c:v>
                </c:pt>
                <c:pt idx="9">
                  <c:v>2699500</c:v>
                </c:pt>
                <c:pt idx="10">
                  <c:v>2699500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1F7-7441-BFAE-962300FD1556}"/>
            </c:ext>
          </c:extLst>
        </c:ser>
        <c:ser>
          <c:idx val="2"/>
          <c:order val="2"/>
          <c:tx>
            <c:strRef>
              <c:f>'FX Hedge Model'!$F$46</c:f>
              <c:strCache>
                <c:ptCount val="1"/>
                <c:pt idx="0">
                  <c:v>Money Mkt
(USD)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Model'!$B$47:$B$57</c:f>
              <c:numCache>
                <c:formatCode>0.0000</c:formatCode>
                <c:ptCount val="11"/>
                <c:pt idx="0">
                  <c:v>1.0279</c:v>
                </c:pt>
                <c:pt idx="1">
                  <c:v>1.0387200000000001</c:v>
                </c:pt>
                <c:pt idx="2">
                  <c:v>1.0495400000000001</c:v>
                </c:pt>
                <c:pt idx="3">
                  <c:v>1.06036</c:v>
                </c:pt>
                <c:pt idx="4">
                  <c:v>1.07118</c:v>
                </c:pt>
                <c:pt idx="5">
                  <c:v>1.0820000000000001</c:v>
                </c:pt>
                <c:pt idx="6">
                  <c:v>1.0928200000000001</c:v>
                </c:pt>
                <c:pt idx="7">
                  <c:v>1.1036400000000002</c:v>
                </c:pt>
                <c:pt idx="8">
                  <c:v>1.11446</c:v>
                </c:pt>
                <c:pt idx="9">
                  <c:v>1.1252800000000001</c:v>
                </c:pt>
                <c:pt idx="10">
                  <c:v>1.1361000000000001</c:v>
                </c:pt>
              </c:numCache>
            </c:numRef>
          </c:cat>
          <c:val>
            <c:numRef>
              <c:f>'FX Hedge Model'!$F$47:$F$57</c:f>
              <c:numCache>
                <c:formatCode>\$#,##0.00</c:formatCode>
                <c:ptCount val="11"/>
                <c:pt idx="0">
                  <c:v>2714376.0831889086</c:v>
                </c:pt>
                <c:pt idx="1">
                  <c:v>2714376.0831889086</c:v>
                </c:pt>
                <c:pt idx="2">
                  <c:v>2714376.0831889086</c:v>
                </c:pt>
                <c:pt idx="3">
                  <c:v>2714376.0831889086</c:v>
                </c:pt>
                <c:pt idx="4">
                  <c:v>2714376.0831889086</c:v>
                </c:pt>
                <c:pt idx="5">
                  <c:v>2714376.0831889086</c:v>
                </c:pt>
                <c:pt idx="6">
                  <c:v>2714376.0831889086</c:v>
                </c:pt>
                <c:pt idx="7">
                  <c:v>2714376.0831889086</c:v>
                </c:pt>
                <c:pt idx="8">
                  <c:v>2714376.0831889086</c:v>
                </c:pt>
                <c:pt idx="9">
                  <c:v>2714376.0831889086</c:v>
                </c:pt>
                <c:pt idx="10">
                  <c:v>2714376.0831889086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1F7-7441-BFAE-962300FD1556}"/>
            </c:ext>
          </c:extLst>
        </c:ser>
        <c:ser>
          <c:idx val="3"/>
          <c:order val="3"/>
          <c:tx>
            <c:strRef>
              <c:f>'FX Hedge Model'!$G$46</c:f>
              <c:strCache>
                <c:ptCount val="1"/>
                <c:pt idx="0">
                  <c:v>Option
(USD)</c:v>
                </c:pt>
              </c:strCache>
            </c:strRef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Model'!$B$47:$B$57</c:f>
              <c:numCache>
                <c:formatCode>0.0000</c:formatCode>
                <c:ptCount val="11"/>
                <c:pt idx="0">
                  <c:v>1.0279</c:v>
                </c:pt>
                <c:pt idx="1">
                  <c:v>1.0387200000000001</c:v>
                </c:pt>
                <c:pt idx="2">
                  <c:v>1.0495400000000001</c:v>
                </c:pt>
                <c:pt idx="3">
                  <c:v>1.06036</c:v>
                </c:pt>
                <c:pt idx="4">
                  <c:v>1.07118</c:v>
                </c:pt>
                <c:pt idx="5">
                  <c:v>1.0820000000000001</c:v>
                </c:pt>
                <c:pt idx="6">
                  <c:v>1.0928200000000001</c:v>
                </c:pt>
                <c:pt idx="7">
                  <c:v>1.1036400000000002</c:v>
                </c:pt>
                <c:pt idx="8">
                  <c:v>1.11446</c:v>
                </c:pt>
                <c:pt idx="9">
                  <c:v>1.1252800000000001</c:v>
                </c:pt>
                <c:pt idx="10">
                  <c:v>1.1361000000000001</c:v>
                </c:pt>
              </c:numCache>
            </c:numRef>
          </c:cat>
          <c:val>
            <c:numRef>
              <c:f>'FX Hedge Model'!$G$47:$G$57</c:f>
              <c:numCache>
                <c:formatCode>\$#,##0.00</c:formatCode>
                <c:ptCount val="11"/>
                <c:pt idx="0">
                  <c:v>2669602.5</c:v>
                </c:pt>
                <c:pt idx="1">
                  <c:v>2669602.5</c:v>
                </c:pt>
                <c:pt idx="2">
                  <c:v>2669602.5</c:v>
                </c:pt>
                <c:pt idx="3">
                  <c:v>2669602.5</c:v>
                </c:pt>
                <c:pt idx="4">
                  <c:v>2669602.5</c:v>
                </c:pt>
                <c:pt idx="5">
                  <c:v>2674602.5</c:v>
                </c:pt>
                <c:pt idx="6">
                  <c:v>2701652.5000000005</c:v>
                </c:pt>
                <c:pt idx="7">
                  <c:v>2728702.5000000005</c:v>
                </c:pt>
                <c:pt idx="8">
                  <c:v>2755752.5</c:v>
                </c:pt>
                <c:pt idx="9">
                  <c:v>2782802.5</c:v>
                </c:pt>
                <c:pt idx="10">
                  <c:v>2809852.5000000005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1F7-7441-BFAE-962300FD1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976534"/>
        <c:axId val="85404125"/>
      </c:lineChart>
      <c:catAx>
        <c:axId val="129765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Future EUR/USD Spot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404125"/>
        <c:crosses val="autoZero"/>
        <c:auto val="1"/>
        <c:lblAlgn val="ctr"/>
        <c:lblOffset val="100"/>
        <c:noMultiLvlLbl val="0"/>
      </c:catAx>
      <c:valAx>
        <c:axId val="854041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9765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7</xdr:col>
      <xdr:colOff>478440</xdr:colOff>
      <xdr:row>84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zoomScaleNormal="100" workbookViewId="0">
      <pane ySplit="2" topLeftCell="A3" activePane="bottomLeft" state="frozen"/>
      <selection pane="bottomLeft" sqref="A1:L1"/>
    </sheetView>
  </sheetViews>
  <sheetFormatPr baseColWidth="10" defaultColWidth="8.6640625" defaultRowHeight="15" x14ac:dyDescent="0.2"/>
  <cols>
    <col min="1" max="1" width="3" customWidth="1"/>
    <col min="2" max="2" width="20" customWidth="1"/>
    <col min="3" max="3" width="42" customWidth="1"/>
    <col min="4" max="7" width="16" customWidth="1"/>
    <col min="8" max="8" width="18" customWidth="1"/>
    <col min="9" max="10" width="16" customWidth="1"/>
    <col min="11" max="11" width="14" customWidth="1"/>
    <col min="12" max="12" width="18" customWidth="1"/>
  </cols>
  <sheetData>
    <row r="1" spans="1:12" ht="25.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39.75" customHeight="1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ht="19.5" customHeight="1" x14ac:dyDescent="0.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">
      <c r="B5" s="13" t="s">
        <v>3</v>
      </c>
      <c r="C5" s="13" t="s">
        <v>4</v>
      </c>
      <c r="D5" s="13" t="s">
        <v>5</v>
      </c>
      <c r="E5" s="13" t="s">
        <v>6</v>
      </c>
    </row>
    <row r="6" spans="1:12" x14ac:dyDescent="0.2">
      <c r="B6" s="14" t="s">
        <v>7</v>
      </c>
      <c r="C6" s="15" t="s">
        <v>8</v>
      </c>
      <c r="D6" s="16">
        <v>2500000</v>
      </c>
      <c r="E6" s="17" t="s">
        <v>9</v>
      </c>
    </row>
    <row r="7" spans="1:12" x14ac:dyDescent="0.2">
      <c r="B7" s="14" t="s">
        <v>10</v>
      </c>
      <c r="C7" s="15" t="s">
        <v>11</v>
      </c>
      <c r="D7" s="18">
        <v>1.0820000000000001</v>
      </c>
      <c r="E7" s="17" t="s">
        <v>12</v>
      </c>
    </row>
    <row r="8" spans="1:12" x14ac:dyDescent="0.2">
      <c r="B8" s="14" t="s">
        <v>13</v>
      </c>
      <c r="C8" s="15" t="s">
        <v>14</v>
      </c>
      <c r="D8" s="18">
        <v>1.0798000000000001</v>
      </c>
      <c r="E8" s="17" t="s">
        <v>12</v>
      </c>
    </row>
    <row r="9" spans="1:12" x14ac:dyDescent="0.2">
      <c r="B9" s="14" t="s">
        <v>15</v>
      </c>
      <c r="C9" s="15" t="s">
        <v>16</v>
      </c>
      <c r="D9" s="19">
        <v>5.2999999999999999E-2</v>
      </c>
      <c r="E9" s="17" t="s">
        <v>17</v>
      </c>
    </row>
    <row r="10" spans="1:12" x14ac:dyDescent="0.2">
      <c r="B10" s="14" t="s">
        <v>18</v>
      </c>
      <c r="C10" s="15" t="s">
        <v>19</v>
      </c>
      <c r="D10" s="19">
        <v>3.9E-2</v>
      </c>
      <c r="E10" s="17" t="s">
        <v>17</v>
      </c>
    </row>
    <row r="11" spans="1:12" x14ac:dyDescent="0.2">
      <c r="B11" s="14" t="s">
        <v>20</v>
      </c>
      <c r="C11" s="15" t="s">
        <v>21</v>
      </c>
      <c r="D11" s="20">
        <v>90</v>
      </c>
      <c r="E11" s="17" t="s">
        <v>22</v>
      </c>
    </row>
    <row r="12" spans="1:12" x14ac:dyDescent="0.2">
      <c r="B12" s="14" t="s">
        <v>23</v>
      </c>
      <c r="C12" s="15" t="s">
        <v>24</v>
      </c>
      <c r="D12" s="18">
        <v>1.08</v>
      </c>
      <c r="E12" s="17" t="s">
        <v>12</v>
      </c>
    </row>
    <row r="13" spans="1:12" x14ac:dyDescent="0.2">
      <c r="B13" s="14" t="s">
        <v>25</v>
      </c>
      <c r="C13" s="15" t="s">
        <v>26</v>
      </c>
      <c r="D13" s="18">
        <v>1.2E-2</v>
      </c>
      <c r="E13" s="17" t="s">
        <v>12</v>
      </c>
    </row>
    <row r="15" spans="1:12" ht="19.5" customHeight="1" x14ac:dyDescent="0.2">
      <c r="A15" s="10" t="s">
        <v>27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">
      <c r="C16" s="15" t="s">
        <v>28</v>
      </c>
      <c r="D16" s="21">
        <f>FC_AMT*F0</f>
        <v>2699500</v>
      </c>
      <c r="F16" s="17" t="s">
        <v>29</v>
      </c>
    </row>
    <row r="17" spans="1:12" x14ac:dyDescent="0.2">
      <c r="C17" s="15" t="s">
        <v>30</v>
      </c>
      <c r="D17" s="22">
        <f>F0</f>
        <v>1.0798000000000001</v>
      </c>
    </row>
    <row r="19" spans="1:12" x14ac:dyDescent="0.2">
      <c r="C19" s="23" t="s">
        <v>31</v>
      </c>
      <c r="D19" s="24">
        <f>D16</f>
        <v>2699500</v>
      </c>
    </row>
    <row r="21" spans="1:12" ht="19.5" customHeight="1" x14ac:dyDescent="0.2">
      <c r="A21" s="10" t="s">
        <v>32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">
      <c r="C22" s="15" t="s">
        <v>33</v>
      </c>
      <c r="D22" s="21">
        <f>FC_AMT/(1+R_EUR*(T_DAYS/360))</f>
        <v>2475860.361475613</v>
      </c>
      <c r="F22" s="17" t="s">
        <v>34</v>
      </c>
    </row>
    <row r="23" spans="1:12" x14ac:dyDescent="0.2">
      <c r="C23" s="15" t="s">
        <v>35</v>
      </c>
      <c r="D23" s="21">
        <f>D22*S0</f>
        <v>2678880.9111166135</v>
      </c>
      <c r="F23" s="17" t="s">
        <v>36</v>
      </c>
    </row>
    <row r="24" spans="1:12" x14ac:dyDescent="0.2">
      <c r="C24" s="15" t="s">
        <v>37</v>
      </c>
      <c r="D24" s="21">
        <f>D23*(1+R_USD*(T_DAYS/360))</f>
        <v>2714376.0831889086</v>
      </c>
      <c r="F24" s="17" t="s">
        <v>38</v>
      </c>
    </row>
    <row r="25" spans="1:12" x14ac:dyDescent="0.2">
      <c r="C25" s="15" t="s">
        <v>39</v>
      </c>
      <c r="D25" s="25">
        <f>FC_AMT</f>
        <v>2500000</v>
      </c>
      <c r="F25" s="17" t="s">
        <v>40</v>
      </c>
    </row>
    <row r="27" spans="1:12" x14ac:dyDescent="0.2">
      <c r="C27" s="23" t="s">
        <v>41</v>
      </c>
      <c r="D27" s="24">
        <f>D24</f>
        <v>2714376.0831889086</v>
      </c>
    </row>
    <row r="28" spans="1:12" x14ac:dyDescent="0.2">
      <c r="C28" s="15" t="s">
        <v>42</v>
      </c>
      <c r="D28" s="26">
        <f>D19-D27</f>
        <v>-14876.08318890864</v>
      </c>
      <c r="F28" s="17" t="s">
        <v>43</v>
      </c>
    </row>
    <row r="30" spans="1:12" ht="19.5" customHeight="1" x14ac:dyDescent="0.2">
      <c r="A30" s="10" t="s">
        <v>44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">
      <c r="C31" s="15" t="s">
        <v>45</v>
      </c>
      <c r="D31" s="21">
        <f>-PREM_PUT*FC_AMT</f>
        <v>-30000</v>
      </c>
      <c r="F31" s="17" t="s">
        <v>46</v>
      </c>
    </row>
    <row r="32" spans="1:12" x14ac:dyDescent="0.2">
      <c r="C32" s="15" t="s">
        <v>47</v>
      </c>
      <c r="D32" s="21">
        <f>D31*(1+R_USD*(T_DAYS/360))</f>
        <v>-30397.5</v>
      </c>
    </row>
    <row r="33" spans="1:12" x14ac:dyDescent="0.2">
      <c r="C33" s="15" t="s">
        <v>48</v>
      </c>
      <c r="D33" s="21">
        <f>K_PUT*FC_AMT+D32</f>
        <v>2669602.5</v>
      </c>
    </row>
    <row r="35" spans="1:12" x14ac:dyDescent="0.2">
      <c r="C35" s="23" t="s">
        <v>49</v>
      </c>
      <c r="D35" s="24">
        <f>K_PUT*FC_AMT+D32</f>
        <v>2669602.5</v>
      </c>
      <c r="F35" s="17" t="s">
        <v>50</v>
      </c>
    </row>
    <row r="37" spans="1:12" ht="19.5" customHeight="1" x14ac:dyDescent="0.2">
      <c r="A37" s="10" t="s">
        <v>51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">
      <c r="B38" s="9" t="s">
        <v>52</v>
      </c>
      <c r="C38" s="9"/>
      <c r="D38" s="9" t="s">
        <v>53</v>
      </c>
      <c r="E38" s="9"/>
      <c r="F38" s="9" t="s">
        <v>54</v>
      </c>
      <c r="G38" s="9"/>
      <c r="H38" s="9" t="s">
        <v>55</v>
      </c>
      <c r="I38" s="9"/>
    </row>
    <row r="39" spans="1:12" x14ac:dyDescent="0.2">
      <c r="B39" s="8" t="s">
        <v>56</v>
      </c>
      <c r="C39" s="8"/>
      <c r="D39" s="7">
        <f>S0*FC_AMT</f>
        <v>2705000</v>
      </c>
      <c r="E39" s="7"/>
      <c r="F39" s="6" t="s">
        <v>57</v>
      </c>
      <c r="G39" s="6"/>
      <c r="H39" s="8" t="s">
        <v>58</v>
      </c>
      <c r="I39" s="8"/>
      <c r="J39" s="8"/>
      <c r="K39" s="8"/>
    </row>
    <row r="40" spans="1:12" x14ac:dyDescent="0.2">
      <c r="B40" s="8" t="s">
        <v>59</v>
      </c>
      <c r="C40" s="8"/>
      <c r="D40" s="7">
        <f>D19</f>
        <v>2699500</v>
      </c>
      <c r="E40" s="7"/>
      <c r="F40" s="6" t="s">
        <v>60</v>
      </c>
      <c r="G40" s="6"/>
      <c r="H40" s="8" t="s">
        <v>61</v>
      </c>
      <c r="I40" s="8"/>
      <c r="J40" s="8"/>
      <c r="K40" s="8"/>
    </row>
    <row r="41" spans="1:12" x14ac:dyDescent="0.2">
      <c r="B41" s="8" t="s">
        <v>62</v>
      </c>
      <c r="C41" s="8"/>
      <c r="D41" s="7">
        <f>D27</f>
        <v>2714376.0831889086</v>
      </c>
      <c r="E41" s="7"/>
      <c r="F41" s="6" t="s">
        <v>60</v>
      </c>
      <c r="G41" s="6"/>
      <c r="H41" s="8" t="s">
        <v>63</v>
      </c>
      <c r="I41" s="8"/>
      <c r="J41" s="8"/>
      <c r="K41" s="8"/>
    </row>
    <row r="42" spans="1:12" x14ac:dyDescent="0.2">
      <c r="B42" s="8" t="s">
        <v>64</v>
      </c>
      <c r="C42" s="8"/>
      <c r="D42" s="7">
        <f>D35</f>
        <v>2669602.5</v>
      </c>
      <c r="E42" s="7"/>
      <c r="F42" s="6" t="s">
        <v>65</v>
      </c>
      <c r="G42" s="6"/>
      <c r="H42" s="8" t="s">
        <v>66</v>
      </c>
      <c r="I42" s="8"/>
      <c r="J42" s="8"/>
      <c r="K42" s="8"/>
    </row>
    <row r="43" spans="1:12" x14ac:dyDescent="0.2">
      <c r="B43" s="5" t="s">
        <v>67</v>
      </c>
      <c r="C43" s="5"/>
      <c r="D43" s="4" t="s">
        <v>68</v>
      </c>
      <c r="E43" s="4"/>
      <c r="F43" s="3" t="s">
        <v>69</v>
      </c>
      <c r="G43" s="3"/>
      <c r="H43" s="2" t="s">
        <v>70</v>
      </c>
      <c r="I43" s="2"/>
      <c r="J43" s="2"/>
      <c r="K43" s="2"/>
    </row>
    <row r="45" spans="1:12" ht="19.5" customHeight="1" x14ac:dyDescent="0.2">
      <c r="A45" s="10" t="s">
        <v>71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31.5" customHeight="1" x14ac:dyDescent="0.2">
      <c r="B46" s="27" t="s">
        <v>72</v>
      </c>
      <c r="C46" s="27" t="s">
        <v>73</v>
      </c>
      <c r="D46" s="27" t="s">
        <v>74</v>
      </c>
      <c r="E46" s="27" t="s">
        <v>75</v>
      </c>
      <c r="F46" s="27" t="s">
        <v>76</v>
      </c>
      <c r="G46" s="27" t="s">
        <v>77</v>
      </c>
      <c r="H46" s="27" t="s">
        <v>78</v>
      </c>
      <c r="I46" s="27" t="s">
        <v>79</v>
      </c>
      <c r="J46" s="27" t="s">
        <v>80</v>
      </c>
      <c r="K46" s="27" t="s">
        <v>81</v>
      </c>
      <c r="L46" s="27" t="s">
        <v>82</v>
      </c>
    </row>
    <row r="47" spans="1:12" x14ac:dyDescent="0.2">
      <c r="B47" s="28">
        <f>S0*(1+-0.05)</f>
        <v>1.0279</v>
      </c>
      <c r="C47" s="29">
        <f t="shared" ref="C47:C57" si="0">B47/S0-1</f>
        <v>-5.0000000000000044E-2</v>
      </c>
      <c r="D47" s="21">
        <f t="shared" ref="D47:D57" si="1">B47*FC_AMT</f>
        <v>2569750</v>
      </c>
      <c r="E47" s="21">
        <f>D19</f>
        <v>2699500</v>
      </c>
      <c r="F47" s="21">
        <f>D27</f>
        <v>2714376.0831889086</v>
      </c>
      <c r="G47" s="21">
        <f t="shared" ref="G47:G57" si="2">MAX(K_PUT,B47)*FC_AMT+(-PREM_PUT*FC_AMT)*(1+R_USD*(T_DAYS/360))</f>
        <v>2669602.5</v>
      </c>
      <c r="H47" s="21">
        <f t="shared" ref="H47:H57" si="3">E47-D47</f>
        <v>129750</v>
      </c>
      <c r="I47" s="21">
        <f t="shared" ref="I47:I57" si="4">F47-D47</f>
        <v>144626.08318890864</v>
      </c>
      <c r="J47" s="21">
        <f t="shared" ref="J47:J57" si="5">G47-D47</f>
        <v>99852.5</v>
      </c>
      <c r="K47" s="30" t="str">
        <f t="shared" ref="K47:K57" si="6">IF(E47=MAX(E47,F47,G47),"Forward",IF(F47=MAX(E47,F47,G47),"Money Mkt","Option"))</f>
        <v>Money Mkt</v>
      </c>
      <c r="L47" s="17" t="s">
        <v>83</v>
      </c>
    </row>
    <row r="48" spans="1:12" x14ac:dyDescent="0.2">
      <c r="B48" s="28">
        <f>S0*(1+-0.04)</f>
        <v>1.0387200000000001</v>
      </c>
      <c r="C48" s="29">
        <f t="shared" si="0"/>
        <v>-4.0000000000000036E-2</v>
      </c>
      <c r="D48" s="21">
        <f t="shared" si="1"/>
        <v>2596800</v>
      </c>
      <c r="E48" s="21">
        <f>D19</f>
        <v>2699500</v>
      </c>
      <c r="F48" s="21">
        <f>D27</f>
        <v>2714376.0831889086</v>
      </c>
      <c r="G48" s="21">
        <f t="shared" si="2"/>
        <v>2669602.5</v>
      </c>
      <c r="H48" s="21">
        <f t="shared" si="3"/>
        <v>102700</v>
      </c>
      <c r="I48" s="21">
        <f t="shared" si="4"/>
        <v>117576.08318890864</v>
      </c>
      <c r="J48" s="21">
        <f t="shared" si="5"/>
        <v>72802.5</v>
      </c>
      <c r="K48" s="30" t="str">
        <f t="shared" si="6"/>
        <v>Money Mkt</v>
      </c>
      <c r="L48" s="17"/>
    </row>
    <row r="49" spans="2:12" x14ac:dyDescent="0.2">
      <c r="B49" s="28">
        <f>S0*(1+-0.03)</f>
        <v>1.0495400000000001</v>
      </c>
      <c r="C49" s="29">
        <f t="shared" si="0"/>
        <v>-2.9999999999999916E-2</v>
      </c>
      <c r="D49" s="21">
        <f t="shared" si="1"/>
        <v>2623850.0000000005</v>
      </c>
      <c r="E49" s="21">
        <f>D19</f>
        <v>2699500</v>
      </c>
      <c r="F49" s="21">
        <f>D27</f>
        <v>2714376.0831889086</v>
      </c>
      <c r="G49" s="21">
        <f t="shared" si="2"/>
        <v>2669602.5</v>
      </c>
      <c r="H49" s="21">
        <f t="shared" si="3"/>
        <v>75649.999999999534</v>
      </c>
      <c r="I49" s="21">
        <f t="shared" si="4"/>
        <v>90526.083188908175</v>
      </c>
      <c r="J49" s="21">
        <f t="shared" si="5"/>
        <v>45752.499999999534</v>
      </c>
      <c r="K49" s="30" t="str">
        <f t="shared" si="6"/>
        <v>Money Mkt</v>
      </c>
      <c r="L49" s="17"/>
    </row>
    <row r="50" spans="2:12" x14ac:dyDescent="0.2">
      <c r="B50" s="28">
        <f>S0*(1+-0.02)</f>
        <v>1.06036</v>
      </c>
      <c r="C50" s="29">
        <f t="shared" si="0"/>
        <v>-2.0000000000000129E-2</v>
      </c>
      <c r="D50" s="21">
        <f t="shared" si="1"/>
        <v>2650900</v>
      </c>
      <c r="E50" s="21">
        <f>D19</f>
        <v>2699500</v>
      </c>
      <c r="F50" s="21">
        <f>D27</f>
        <v>2714376.0831889086</v>
      </c>
      <c r="G50" s="21">
        <f t="shared" si="2"/>
        <v>2669602.5</v>
      </c>
      <c r="H50" s="21">
        <f t="shared" si="3"/>
        <v>48600</v>
      </c>
      <c r="I50" s="21">
        <f t="shared" si="4"/>
        <v>63476.08318890864</v>
      </c>
      <c r="J50" s="21">
        <f t="shared" si="5"/>
        <v>18702.5</v>
      </c>
      <c r="K50" s="30" t="str">
        <f t="shared" si="6"/>
        <v>Money Mkt</v>
      </c>
      <c r="L50" s="17"/>
    </row>
    <row r="51" spans="2:12" x14ac:dyDescent="0.2">
      <c r="B51" s="28">
        <f>S0*(1+-0.01)</f>
        <v>1.07118</v>
      </c>
      <c r="C51" s="29">
        <f t="shared" si="0"/>
        <v>-1.0000000000000009E-2</v>
      </c>
      <c r="D51" s="21">
        <f t="shared" si="1"/>
        <v>2677950</v>
      </c>
      <c r="E51" s="21">
        <f>D19</f>
        <v>2699500</v>
      </c>
      <c r="F51" s="21">
        <f>D27</f>
        <v>2714376.0831889086</v>
      </c>
      <c r="G51" s="21">
        <f t="shared" si="2"/>
        <v>2669602.5</v>
      </c>
      <c r="H51" s="21">
        <f t="shared" si="3"/>
        <v>21550</v>
      </c>
      <c r="I51" s="21">
        <f t="shared" si="4"/>
        <v>36426.08318890864</v>
      </c>
      <c r="J51" s="21">
        <f t="shared" si="5"/>
        <v>-8347.5</v>
      </c>
      <c r="K51" s="30" t="str">
        <f t="shared" si="6"/>
        <v>Money Mkt</v>
      </c>
      <c r="L51" s="17"/>
    </row>
    <row r="52" spans="2:12" x14ac:dyDescent="0.2">
      <c r="B52" s="28">
        <f>S0*(1+0)</f>
        <v>1.0820000000000001</v>
      </c>
      <c r="C52" s="29">
        <f t="shared" si="0"/>
        <v>0</v>
      </c>
      <c r="D52" s="21">
        <f t="shared" si="1"/>
        <v>2705000</v>
      </c>
      <c r="E52" s="21">
        <f>D19</f>
        <v>2699500</v>
      </c>
      <c r="F52" s="21">
        <f>D27</f>
        <v>2714376.0831889086</v>
      </c>
      <c r="G52" s="21">
        <f t="shared" si="2"/>
        <v>2674602.5</v>
      </c>
      <c r="H52" s="21">
        <f t="shared" si="3"/>
        <v>-5500</v>
      </c>
      <c r="I52" s="21">
        <f t="shared" si="4"/>
        <v>9376.0831889086403</v>
      </c>
      <c r="J52" s="21">
        <f t="shared" si="5"/>
        <v>-30397.5</v>
      </c>
      <c r="K52" s="30" t="str">
        <f t="shared" si="6"/>
        <v>Money Mkt</v>
      </c>
      <c r="L52" s="17" t="s">
        <v>84</v>
      </c>
    </row>
    <row r="53" spans="2:12" x14ac:dyDescent="0.2">
      <c r="B53" s="28">
        <f>S0*(1+0.01)</f>
        <v>1.0928200000000001</v>
      </c>
      <c r="C53" s="29">
        <f t="shared" si="0"/>
        <v>1.0000000000000009E-2</v>
      </c>
      <c r="D53" s="21">
        <f t="shared" si="1"/>
        <v>2732050.0000000005</v>
      </c>
      <c r="E53" s="21">
        <f>D19</f>
        <v>2699500</v>
      </c>
      <c r="F53" s="21">
        <f>D27</f>
        <v>2714376.0831889086</v>
      </c>
      <c r="G53" s="21">
        <f t="shared" si="2"/>
        <v>2701652.5000000005</v>
      </c>
      <c r="H53" s="21">
        <f t="shared" si="3"/>
        <v>-32550.000000000466</v>
      </c>
      <c r="I53" s="21">
        <f t="shared" si="4"/>
        <v>-17673.916811091825</v>
      </c>
      <c r="J53" s="21">
        <f t="shared" si="5"/>
        <v>-30397.5</v>
      </c>
      <c r="K53" s="30" t="str">
        <f t="shared" si="6"/>
        <v>Money Mkt</v>
      </c>
      <c r="L53" s="17"/>
    </row>
    <row r="54" spans="2:12" x14ac:dyDescent="0.2">
      <c r="B54" s="28">
        <f>S0*(1+0.02)</f>
        <v>1.1036400000000002</v>
      </c>
      <c r="C54" s="29">
        <f t="shared" si="0"/>
        <v>2.0000000000000018E-2</v>
      </c>
      <c r="D54" s="21">
        <f t="shared" si="1"/>
        <v>2759100.0000000005</v>
      </c>
      <c r="E54" s="21">
        <f>D19</f>
        <v>2699500</v>
      </c>
      <c r="F54" s="21">
        <f>D27</f>
        <v>2714376.0831889086</v>
      </c>
      <c r="G54" s="21">
        <f t="shared" si="2"/>
        <v>2728702.5000000005</v>
      </c>
      <c r="H54" s="21">
        <f t="shared" si="3"/>
        <v>-59600.000000000466</v>
      </c>
      <c r="I54" s="21">
        <f t="shared" si="4"/>
        <v>-44723.916811091825</v>
      </c>
      <c r="J54" s="21">
        <f t="shared" si="5"/>
        <v>-30397.5</v>
      </c>
      <c r="K54" s="30" t="str">
        <f t="shared" si="6"/>
        <v>Option</v>
      </c>
      <c r="L54" s="17"/>
    </row>
    <row r="55" spans="2:12" x14ac:dyDescent="0.2">
      <c r="B55" s="28">
        <f>S0*(1+0.03)</f>
        <v>1.11446</v>
      </c>
      <c r="C55" s="29">
        <f t="shared" si="0"/>
        <v>3.0000000000000027E-2</v>
      </c>
      <c r="D55" s="21">
        <f t="shared" si="1"/>
        <v>2786150</v>
      </c>
      <c r="E55" s="21">
        <f>D19</f>
        <v>2699500</v>
      </c>
      <c r="F55" s="21">
        <f>D27</f>
        <v>2714376.0831889086</v>
      </c>
      <c r="G55" s="21">
        <f t="shared" si="2"/>
        <v>2755752.5</v>
      </c>
      <c r="H55" s="21">
        <f t="shared" si="3"/>
        <v>-86650</v>
      </c>
      <c r="I55" s="21">
        <f t="shared" si="4"/>
        <v>-71773.91681109136</v>
      </c>
      <c r="J55" s="21">
        <f t="shared" si="5"/>
        <v>-30397.5</v>
      </c>
      <c r="K55" s="30" t="str">
        <f t="shared" si="6"/>
        <v>Option</v>
      </c>
      <c r="L55" s="17"/>
    </row>
    <row r="56" spans="2:12" x14ac:dyDescent="0.2">
      <c r="B56" s="28">
        <f>S0*(1+0.04)</f>
        <v>1.1252800000000001</v>
      </c>
      <c r="C56" s="29">
        <f t="shared" si="0"/>
        <v>4.0000000000000036E-2</v>
      </c>
      <c r="D56" s="21">
        <f t="shared" si="1"/>
        <v>2813200</v>
      </c>
      <c r="E56" s="21">
        <f>D19</f>
        <v>2699500</v>
      </c>
      <c r="F56" s="21">
        <f>D27</f>
        <v>2714376.0831889086</v>
      </c>
      <c r="G56" s="21">
        <f t="shared" si="2"/>
        <v>2782802.5</v>
      </c>
      <c r="H56" s="21">
        <f t="shared" si="3"/>
        <v>-113700</v>
      </c>
      <c r="I56" s="21">
        <f t="shared" si="4"/>
        <v>-98823.91681109136</v>
      </c>
      <c r="J56" s="21">
        <f t="shared" si="5"/>
        <v>-30397.5</v>
      </c>
      <c r="K56" s="30" t="str">
        <f t="shared" si="6"/>
        <v>Option</v>
      </c>
      <c r="L56" s="17"/>
    </row>
    <row r="57" spans="2:12" x14ac:dyDescent="0.2">
      <c r="B57" s="28">
        <f>S0*(1+0.05)</f>
        <v>1.1361000000000001</v>
      </c>
      <c r="C57" s="29">
        <f t="shared" si="0"/>
        <v>5.0000000000000044E-2</v>
      </c>
      <c r="D57" s="21">
        <f t="shared" si="1"/>
        <v>2840250.0000000005</v>
      </c>
      <c r="E57" s="21">
        <f>D19</f>
        <v>2699500</v>
      </c>
      <c r="F57" s="21">
        <f>D27</f>
        <v>2714376.0831889086</v>
      </c>
      <c r="G57" s="21">
        <f t="shared" si="2"/>
        <v>2809852.5000000005</v>
      </c>
      <c r="H57" s="21">
        <f t="shared" si="3"/>
        <v>-140750.00000000047</v>
      </c>
      <c r="I57" s="21">
        <f t="shared" si="4"/>
        <v>-125873.91681109183</v>
      </c>
      <c r="J57" s="21">
        <f t="shared" si="5"/>
        <v>-30397.5</v>
      </c>
      <c r="K57" s="30" t="str">
        <f t="shared" si="6"/>
        <v>Option</v>
      </c>
      <c r="L57" s="17" t="s">
        <v>85</v>
      </c>
    </row>
  </sheetData>
  <mergeCells count="32">
    <mergeCell ref="B43:C43"/>
    <mergeCell ref="D43:E43"/>
    <mergeCell ref="F43:G43"/>
    <mergeCell ref="H43:K43"/>
    <mergeCell ref="A45:L45"/>
    <mergeCell ref="B41:C41"/>
    <mergeCell ref="D41:E41"/>
    <mergeCell ref="F41:G41"/>
    <mergeCell ref="H41:K41"/>
    <mergeCell ref="B42:C42"/>
    <mergeCell ref="D42:E42"/>
    <mergeCell ref="F42:G42"/>
    <mergeCell ref="H42:K42"/>
    <mergeCell ref="B39:C39"/>
    <mergeCell ref="D39:E39"/>
    <mergeCell ref="F39:G39"/>
    <mergeCell ref="H39:K39"/>
    <mergeCell ref="B40:C40"/>
    <mergeCell ref="D40:E40"/>
    <mergeCell ref="F40:G40"/>
    <mergeCell ref="H40:K40"/>
    <mergeCell ref="A30:L30"/>
    <mergeCell ref="A37:L37"/>
    <mergeCell ref="B38:C38"/>
    <mergeCell ref="D38:E38"/>
    <mergeCell ref="F38:G38"/>
    <mergeCell ref="H38:I38"/>
    <mergeCell ref="A1:L1"/>
    <mergeCell ref="A2:L2"/>
    <mergeCell ref="A4:L4"/>
    <mergeCell ref="A15:L15"/>
    <mergeCell ref="A21:L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Normal="100" workbookViewId="0"/>
  </sheetViews>
  <sheetFormatPr baseColWidth="10" defaultColWidth="8.6640625" defaultRowHeight="15" x14ac:dyDescent="0.2"/>
  <cols>
    <col min="1" max="1" width="32" customWidth="1"/>
    <col min="2" max="2" width="62" customWidth="1"/>
  </cols>
  <sheetData>
    <row r="1" spans="1:2" ht="21.75" customHeight="1" x14ac:dyDescent="0.2">
      <c r="A1" s="1" t="s">
        <v>86</v>
      </c>
      <c r="B1" s="1"/>
    </row>
    <row r="2" spans="1:2" x14ac:dyDescent="0.2">
      <c r="A2" s="13" t="s">
        <v>87</v>
      </c>
      <c r="B2" s="13" t="s">
        <v>88</v>
      </c>
    </row>
    <row r="3" spans="1:2" ht="18" customHeight="1" x14ac:dyDescent="0.2">
      <c r="A3" s="31" t="s">
        <v>89</v>
      </c>
      <c r="B3" s="32" t="s">
        <v>90</v>
      </c>
    </row>
    <row r="4" spans="1:2" ht="18" customHeight="1" x14ac:dyDescent="0.2">
      <c r="A4" s="31" t="s">
        <v>91</v>
      </c>
      <c r="B4" s="32" t="s">
        <v>92</v>
      </c>
    </row>
    <row r="5" spans="1:2" ht="18" customHeight="1" x14ac:dyDescent="0.2">
      <c r="A5" s="31" t="s">
        <v>93</v>
      </c>
      <c r="B5" s="32" t="s">
        <v>94</v>
      </c>
    </row>
    <row r="6" spans="1:2" ht="18" customHeight="1" x14ac:dyDescent="0.2">
      <c r="A6" s="31" t="s">
        <v>95</v>
      </c>
      <c r="B6" s="32" t="s">
        <v>96</v>
      </c>
    </row>
    <row r="7" spans="1:2" ht="18" customHeight="1" x14ac:dyDescent="0.2">
      <c r="A7" s="31" t="s">
        <v>97</v>
      </c>
      <c r="B7" s="32" t="s">
        <v>98</v>
      </c>
    </row>
    <row r="8" spans="1:2" ht="18" customHeight="1" x14ac:dyDescent="0.2">
      <c r="A8" s="31" t="s">
        <v>99</v>
      </c>
      <c r="B8" s="32" t="s">
        <v>100</v>
      </c>
    </row>
    <row r="9" spans="1:2" ht="18" customHeight="1" x14ac:dyDescent="0.2">
      <c r="A9" s="31" t="s">
        <v>101</v>
      </c>
      <c r="B9" s="32" t="s">
        <v>102</v>
      </c>
    </row>
    <row r="10" spans="1:2" ht="18" customHeight="1" x14ac:dyDescent="0.2">
      <c r="A10" s="31" t="s">
        <v>103</v>
      </c>
      <c r="B10" s="32" t="s">
        <v>104</v>
      </c>
    </row>
    <row r="11" spans="1:2" ht="18" customHeight="1" x14ac:dyDescent="0.2">
      <c r="A11" s="31" t="s">
        <v>105</v>
      </c>
      <c r="B11" s="32" t="s">
        <v>106</v>
      </c>
    </row>
    <row r="12" spans="1:2" ht="18" customHeight="1" x14ac:dyDescent="0.2">
      <c r="A12" s="31" t="s">
        <v>107</v>
      </c>
      <c r="B12" s="32" t="s">
        <v>108</v>
      </c>
    </row>
    <row r="13" spans="1:2" ht="18" customHeight="1" x14ac:dyDescent="0.2">
      <c r="A13" s="31" t="s">
        <v>109</v>
      </c>
      <c r="B13" s="32" t="s">
        <v>110</v>
      </c>
    </row>
    <row r="14" spans="1:2" ht="18" customHeight="1" x14ac:dyDescent="0.2">
      <c r="A14" s="31" t="s">
        <v>111</v>
      </c>
      <c r="B14" s="32" t="s">
        <v>112</v>
      </c>
    </row>
    <row r="15" spans="1:2" ht="18" customHeight="1" x14ac:dyDescent="0.2">
      <c r="A15" s="31" t="s">
        <v>113</v>
      </c>
      <c r="B15" s="32" t="s">
        <v>114</v>
      </c>
    </row>
    <row r="16" spans="1:2" ht="18" customHeight="1" x14ac:dyDescent="0.2">
      <c r="A16" s="31" t="s">
        <v>115</v>
      </c>
      <c r="B16" s="32" t="s">
        <v>116</v>
      </c>
    </row>
    <row r="17" spans="1:2" ht="18" customHeight="1" x14ac:dyDescent="0.2">
      <c r="A17" s="31" t="s">
        <v>117</v>
      </c>
      <c r="B17" s="32" t="s">
        <v>118</v>
      </c>
    </row>
    <row r="18" spans="1:2" ht="18" customHeight="1" x14ac:dyDescent="0.2">
      <c r="A18" s="31" t="s">
        <v>119</v>
      </c>
      <c r="B18" s="32" t="s">
        <v>120</v>
      </c>
    </row>
    <row r="19" spans="1:2" ht="18" customHeight="1" x14ac:dyDescent="0.2">
      <c r="A19" s="31" t="s">
        <v>121</v>
      </c>
      <c r="B19" s="32" t="s">
        <v>122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FX Hedge Model</vt:lpstr>
      <vt:lpstr>Notes &amp; Assumptions</vt:lpstr>
      <vt:lpstr>F0</vt:lpstr>
      <vt:lpstr>FC_AMT</vt:lpstr>
      <vt:lpstr>K_PUT</vt:lpstr>
      <vt:lpstr>PREM_PUT</vt:lpstr>
      <vt:lpstr>R_EUR</vt:lpstr>
      <vt:lpstr>R_USD</vt:lpstr>
      <vt:lpstr>S0</vt:lpstr>
      <vt:lpstr>T_DAYS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Christensen</cp:lastModifiedBy>
  <cp:revision>1</cp:revision>
  <dcterms:created xsi:type="dcterms:W3CDTF">2026-04-17T04:52:56Z</dcterms:created>
  <dcterms:modified xsi:type="dcterms:W3CDTF">2026-04-17T20:47:32Z</dcterms:modified>
  <dc:language>en-US</dc:language>
</cp:coreProperties>
</file>